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说明与纪律" sheetId="1" state="visible" r:id="rId1"/>
    <sheet xmlns:r="http://schemas.openxmlformats.org/officeDocument/2006/relationships" name="② 评分点定义" sheetId="2" state="visible" r:id="rId2"/>
    <sheet xmlns:r="http://schemas.openxmlformats.org/officeDocument/2006/relationships" name="③ 逐项打分" sheetId="3" state="visible" r:id="rId3"/>
    <sheet xmlns:r="http://schemas.openxmlformats.org/officeDocument/2006/relationships" name="④ 总分汇总" sheetId="4" state="visible" r:id="rId4"/>
    <sheet xmlns:r="http://schemas.openxmlformats.org/officeDocument/2006/relationships" name="⑤ 封存记录" sheetId="5" state="visible" r:id="rId5"/>
  </sheets>
  <definedNames>
    <definedName name="_xlnm._FilterDatabase" localSheetId="2" hidden="1">'③ 逐项打分'!$A$1:$I$51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1F1D"/>
      <sz val="15"/>
    </font>
    <font>
      <name val="微软雅黑"/>
      <b val="1"/>
      <color rgb="00185FA5"/>
      <sz val="11"/>
    </font>
    <font>
      <name val="微软雅黑"/>
      <color rgb="001F1F1D"/>
      <sz val="10"/>
    </font>
    <font>
      <name val="微软雅黑"/>
      <b val="1"/>
      <color rgb="001F1F1D"/>
      <sz val="10"/>
    </font>
    <font>
      <name val="微软雅黑"/>
      <color rgb="005F5E5A"/>
      <sz val="10"/>
    </font>
  </fonts>
  <fills count="7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FFDF5"/>
      </patternFill>
    </fill>
    <fill>
      <patternFill patternType="solid">
        <fgColor rgb="00F5F4F0"/>
      </patternFill>
    </fill>
    <fill>
      <patternFill patternType="solid">
        <fgColor rgb="00E1F5EE"/>
      </patternFill>
    </fill>
    <fill>
      <patternFill patternType="solid">
        <fgColor rgb="00FAEEDA"/>
      </patternFill>
    </fill>
  </fills>
  <borders count="6">
    <border>
      <left/>
      <right/>
      <top/>
      <bottom/>
      <diagonal/>
    </border>
    <border>
      <left style="thin">
        <color rgb="00D8D6CF"/>
      </left>
      <right style="thin">
        <color rgb="00D8D6CF"/>
      </right>
      <top style="thin">
        <color rgb="00D8D6CF"/>
      </top>
      <bottom style="thin">
        <color rgb="00D8D6CF"/>
      </bottom>
    </border>
    <border>
      <left/>
      <right/>
      <top style="thin">
        <color rgb="00D8D6CF"/>
      </top>
      <bottom/>
      <diagonal/>
    </border>
    <border>
      <left/>
      <right style="thin">
        <color rgb="00D8D6CF"/>
      </right>
      <top style="thin">
        <color rgb="00D8D6CF"/>
      </top>
      <bottom/>
      <diagonal/>
    </border>
    <border>
      <left/>
      <right style="thin">
        <color rgb="00D8D6CF"/>
      </right>
      <top style="thin">
        <color rgb="00D8D6CF"/>
      </top>
      <bottom style="thin">
        <color rgb="00D8D6CF"/>
      </bottom>
      <diagonal/>
    </border>
    <border>
      <left/>
      <right/>
      <top style="thin">
        <color rgb="00D8D6CF"/>
      </top>
      <bottom style="thin">
        <color rgb="00D8D6C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96" customWidth="1" min="2" max="2"/>
  </cols>
  <sheetData>
    <row r="1" ht="30" customHeight="1">
      <c r="A1" s="1" t="inlineStr">
        <is>
          <t>AutoGrader · gold set 人工打分表（空白模板）</t>
        </is>
      </c>
      <c r="B1" s="2" t="n"/>
    </row>
    <row r="2" ht="48" customHeight="1">
      <c r="A2" s="3" t="inlineStr">
        <is>
          <t>打分对象</t>
        </is>
      </c>
      <c r="B2" s="4" t="inlineStr">
        <is>
          <t>10 份脱敏实验报告 S01–S10（data/samples/），按 5 个评分点逐项打分，满分 100。</t>
        </is>
      </c>
    </row>
    <row r="4" ht="64" customHeight="1">
      <c r="A4" s="3" t="inlineStr">
        <is>
          <t>一、这份表为什么要存在</t>
        </is>
      </c>
      <c r="B4" s="5" t="inlineStr">
        <is>
          <t>我们用它来检验 AutoGrader 的评分到底准不准。
准确率不能由写代码的人自己宣布——那样想多少分就有多少分。
所以这份人工分数是「标准答案（gold set）」，由没有参与代码和 prompt 调优的人独立给出。</t>
        </is>
      </c>
    </row>
    <row r="5" ht="80" customHeight="1">
      <c r="A5" s="3" t="inlineStr">
        <is>
          <t>二、三条纪律（不可违反）</t>
        </is>
      </c>
      <c r="B5" s="5" t="inlineStr">
        <is>
          <t>1. 独立打分：全程不要和主程讨论任何一份报告该给多少分，不要问「系统给了几分」。
2. 先于调优：这份表必须在任何 prompt 修改【之前】完成并封存。
   封存后到 D6（benchmark）才解封，中间不允许回头改分。
3. 不许偷看：打分期间不要打开系统的评阅结果、不要看 docs/cases 里的案例。</t>
        </is>
      </c>
    </row>
    <row r="6" ht="96" customHeight="1">
      <c r="A6" s="3" t="inlineStr">
        <is>
          <t>三、打分流程</t>
        </is>
      </c>
      <c r="B6" s="5" t="inlineStr">
        <is>
          <t>1. 打开 data/samples/S01.txt，通读一遍（不要跳读）。
2. 到「③ 逐项打分」表，给 S01 的 r1–r5 各打一个分，并在「依据」里抄一句原文或写清位置。
3. 十份报告依次做完，共 50 行。
4. 到「④ 总分汇总」核对每份总分（公式自动加总，不用手算）。
5. 到「⑤ 封存记录」填写署名与时间，确认三项「是」后封存。</t>
        </is>
      </c>
    </row>
    <row r="7" ht="96" customHeight="1">
      <c r="A7" s="3" t="inlineStr">
        <is>
          <t>四、判定与给分规则</t>
        </is>
      </c>
      <c r="B7" s="5" t="inlineStr">
        <is>
          <t>hit（命中）    → 给满分或接近满分（≥85%）。原文清楚写了这点要求的全部关键内容。
partial（部分）→ 给满分的 40%–70%。提到了但说得不完整、只有标题没有实质内容、或只有现象没有分析。
miss（未命中） → 给 0–20%。完全没写，或写的不是这回事。
说明：百分比是参考，最终以你的判断为准——但每个分数都必须能在「依据」里指认出原文。
特别注意：报告里只有小标题（比如只写了「运行结果」四个字）而没有实际内容，算 partial，不算 hit。</t>
        </is>
      </c>
    </row>
    <row r="8" ht="112" customHeight="1">
      <c r="A8" s="3" t="inlineStr">
        <is>
          <t>五、填写要求</t>
        </is>
      </c>
      <c r="B8" s="5" t="inlineStr">
        <is>
          <t>· 「人工得分」必填，可以是小数（如 12.5）。
· 「判定」从下拉选 hit / partial / miss。
· 「依据」尽量填：抄一句原文片段，或写「第 3 节」「开头第 2 段」这类位置。
   填不出来的分数，说明这个分给得没把握——那就重新看报告，或降到 partial。
· 十份报告建议分 2–3 次做完，中途休息，避免越打越松（顺序效应）。
· 全部打完前【不要】和主程讨论任何分数。</t>
        </is>
      </c>
    </row>
    <row r="9" ht="144" customHeight="1">
      <c r="A9" s="3" t="inlineStr">
        <is>
          <t>六、常见疑问</t>
        </is>
      </c>
      <c r="B9" s="5" t="inlineStr">
        <is>
          <t>Q：拿不准该给 12 还是 14？
A：给 13，然后在备注写「介于两者之间」。不要为了凑整数反复纠结，一致性比精度重要。
Q：报告写得很烂，五项都该 0 吗？
A：只要开头写了实验目的，r1 就该有分。逐项独立判断，不要因为整体印象差就全给 0。
Q：可以改分吗？
A：封存前可以。一旦在「⑤ 封存记录」确认，就不能再改——这是这份表可信的前提。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10" customWidth="1" min="3" max="3"/>
    <col width="46" customWidth="1" min="4" max="4"/>
    <col width="34" customWidth="1" min="5" max="5"/>
  </cols>
  <sheetData>
    <row r="1">
      <c r="A1" s="6" t="inlineStr">
        <is>
          <t>评分点ID</t>
        </is>
      </c>
      <c r="B1" s="6" t="inlineStr">
        <is>
          <t>评分点名称</t>
        </is>
      </c>
      <c r="C1" s="6" t="inlineStr">
        <is>
          <t>满分</t>
        </is>
      </c>
      <c r="D1" s="6" t="inlineStr">
        <is>
          <t>判定标准</t>
        </is>
      </c>
      <c r="E1" s="6" t="inlineStr">
        <is>
          <t>命中特征词（参考）</t>
        </is>
      </c>
    </row>
    <row r="2" ht="32" customHeight="1">
      <c r="A2" s="7" t="inlineStr">
        <is>
          <t>r1</t>
        </is>
      </c>
      <c r="B2" s="7" t="inlineStr">
        <is>
          <t>实验目的明确</t>
        </is>
      </c>
      <c r="C2" s="7" t="n">
        <v>15</v>
      </c>
      <c r="D2" s="8" t="inlineStr">
        <is>
          <t>开头明确写出本次实验的目的与要掌握的能力</t>
        </is>
      </c>
      <c r="E2" s="9" t="inlineStr">
        <is>
          <t>实验目的 / 旨在 / 掌握 / 目的</t>
        </is>
      </c>
    </row>
    <row r="3" ht="32" customHeight="1">
      <c r="A3" s="7" t="inlineStr">
        <is>
          <t>r2</t>
        </is>
      </c>
      <c r="B3" s="7" t="inlineStr">
        <is>
          <t>环境与步骤</t>
        </is>
      </c>
      <c r="C3" s="7" t="n">
        <v>20</v>
      </c>
      <c r="D3" s="8" t="inlineStr">
        <is>
          <t>写清实验环境配置与可复现的操作步骤</t>
        </is>
      </c>
      <c r="E3" s="9" t="inlineStr">
        <is>
          <t>环境 / 步骤 / 安装 / 配置 / 命令</t>
        </is>
      </c>
    </row>
    <row r="4" ht="32" customHeight="1">
      <c r="A4" s="7" t="inlineStr">
        <is>
          <t>r3</t>
        </is>
      </c>
      <c r="B4" s="7" t="inlineStr">
        <is>
          <t>核心实现</t>
        </is>
      </c>
      <c r="C4" s="7" t="n">
        <v>25</v>
      </c>
      <c r="D4" s="8" t="inlineStr">
        <is>
          <t>给出核心代码、模型结构或关键实现说明</t>
        </is>
      </c>
      <c r="E4" s="9" t="inlineStr">
        <is>
          <t>代码 / 实现 / 模型 / 算法 / 结构</t>
        </is>
      </c>
    </row>
    <row r="5" ht="32" customHeight="1">
      <c r="A5" s="7" t="inlineStr">
        <is>
          <t>r4</t>
        </is>
      </c>
      <c r="B5" s="7" t="inlineStr">
        <is>
          <t>结果与数据</t>
        </is>
      </c>
      <c r="C5" s="7" t="n">
        <v>20</v>
      </c>
      <c r="D5" s="8" t="inlineStr">
        <is>
          <t>给出运行结果、截图、表格或实验数据</t>
        </is>
      </c>
      <c r="E5" s="9" t="inlineStr">
        <is>
          <t>结果 / 输出 / 截图 / 数据 / 表</t>
        </is>
      </c>
    </row>
    <row r="6" ht="32" customHeight="1">
      <c r="A6" s="7" t="inlineStr">
        <is>
          <t>r5</t>
        </is>
      </c>
      <c r="B6" s="7" t="inlineStr">
        <is>
          <t>分析与总结</t>
        </is>
      </c>
      <c r="C6" s="7" t="n">
        <v>20</v>
      </c>
      <c r="D6" s="8" t="inlineStr">
        <is>
          <t>对结果进行分析讨论，并有总结或心得</t>
        </is>
      </c>
      <c r="E6" s="9" t="inlineStr">
        <is>
          <t>分析 / 总结 / 心得 / 讨论 / 结论</t>
        </is>
      </c>
    </row>
    <row r="7">
      <c r="A7" s="10" t="inlineStr">
        <is>
          <t>合计</t>
        </is>
      </c>
      <c r="B7" s="10" t="inlineStr"/>
      <c r="C7" s="10">
        <f>SUM(C2:C6)</f>
        <v/>
      </c>
      <c r="D7" s="11" t="inlineStr">
        <is>
          <t>与 docs/cases 公布案例、tools/make_demo.py 使用的标准完全一致</t>
        </is>
      </c>
      <c r="E7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0" customWidth="1" min="2" max="2"/>
    <col width="10" customWidth="1" min="3" max="3"/>
    <col width="16" customWidth="1" min="4" max="4"/>
    <col width="8" customWidth="1" min="5" max="5"/>
    <col width="12" customWidth="1" min="6" max="6"/>
    <col width="12" customWidth="1" min="7" max="7"/>
    <col width="46" customWidth="1" min="8" max="8"/>
    <col width="26" customWidth="1" min="9" max="9"/>
  </cols>
  <sheetData>
    <row r="1" ht="34" customHeight="1">
      <c r="A1" s="6" t="inlineStr">
        <is>
          <t>序号</t>
        </is>
      </c>
      <c r="B1" s="6" t="inlineStr">
        <is>
          <t>报告ID</t>
        </is>
      </c>
      <c r="C1" s="6" t="inlineStr">
        <is>
          <t>评分点ID</t>
        </is>
      </c>
      <c r="D1" s="6" t="inlineStr">
        <is>
          <t>评分点名称</t>
        </is>
      </c>
      <c r="E1" s="6" t="inlineStr">
        <is>
          <t>满分</t>
        </is>
      </c>
      <c r="F1" s="6" t="inlineStr">
        <is>
          <t>人工得分
(必填)</t>
        </is>
      </c>
      <c r="G1" s="6" t="inlineStr">
        <is>
          <t>判定
(下拉)</t>
        </is>
      </c>
      <c r="H1" s="6" t="inlineStr">
        <is>
          <t>依据（原文摘录或位置，尽量填）</t>
        </is>
      </c>
      <c r="I1" s="6" t="inlineStr">
        <is>
          <t>备注</t>
        </is>
      </c>
    </row>
    <row r="2" ht="22" customHeight="1">
      <c r="A2" s="12" t="n">
        <v>1</v>
      </c>
      <c r="B2" s="13" t="inlineStr">
        <is>
          <t>S01</t>
        </is>
      </c>
      <c r="C2" s="13" t="inlineStr">
        <is>
          <t>r1</t>
        </is>
      </c>
      <c r="D2" s="13" t="inlineStr">
        <is>
          <t>实验目的明确</t>
        </is>
      </c>
      <c r="E2" s="13" t="n">
        <v>15</v>
      </c>
      <c r="F2" s="14" t="n"/>
      <c r="G2" s="14" t="n"/>
      <c r="H2" s="5" t="n"/>
      <c r="I2" s="15" t="n"/>
    </row>
    <row r="3" ht="22" customHeight="1">
      <c r="A3" s="12" t="n">
        <v>2</v>
      </c>
      <c r="B3" s="13" t="inlineStr">
        <is>
          <t>S01</t>
        </is>
      </c>
      <c r="C3" s="13" t="inlineStr">
        <is>
          <t>r2</t>
        </is>
      </c>
      <c r="D3" s="13" t="inlineStr">
        <is>
          <t>环境与步骤</t>
        </is>
      </c>
      <c r="E3" s="13" t="n">
        <v>20</v>
      </c>
      <c r="F3" s="14" t="n"/>
      <c r="G3" s="14" t="n"/>
      <c r="H3" s="5" t="n"/>
      <c r="I3" s="15" t="n"/>
    </row>
    <row r="4" ht="22" customHeight="1">
      <c r="A4" s="12" t="n">
        <v>3</v>
      </c>
      <c r="B4" s="13" t="inlineStr">
        <is>
          <t>S01</t>
        </is>
      </c>
      <c r="C4" s="13" t="inlineStr">
        <is>
          <t>r3</t>
        </is>
      </c>
      <c r="D4" s="13" t="inlineStr">
        <is>
          <t>核心实现</t>
        </is>
      </c>
      <c r="E4" s="13" t="n">
        <v>25</v>
      </c>
      <c r="F4" s="14" t="n"/>
      <c r="G4" s="14" t="n"/>
      <c r="H4" s="5" t="n"/>
      <c r="I4" s="15" t="n"/>
    </row>
    <row r="5" ht="22" customHeight="1">
      <c r="A5" s="12" t="n">
        <v>4</v>
      </c>
      <c r="B5" s="13" t="inlineStr">
        <is>
          <t>S01</t>
        </is>
      </c>
      <c r="C5" s="13" t="inlineStr">
        <is>
          <t>r4</t>
        </is>
      </c>
      <c r="D5" s="13" t="inlineStr">
        <is>
          <t>结果与数据</t>
        </is>
      </c>
      <c r="E5" s="13" t="n">
        <v>20</v>
      </c>
      <c r="F5" s="14" t="n"/>
      <c r="G5" s="14" t="n"/>
      <c r="H5" s="5" t="n"/>
      <c r="I5" s="15" t="n"/>
    </row>
    <row r="6" ht="22" customHeight="1">
      <c r="A6" s="12" t="n">
        <v>5</v>
      </c>
      <c r="B6" s="13" t="inlineStr">
        <is>
          <t>S01</t>
        </is>
      </c>
      <c r="C6" s="13" t="inlineStr">
        <is>
          <t>r5</t>
        </is>
      </c>
      <c r="D6" s="13" t="inlineStr">
        <is>
          <t>分析与总结</t>
        </is>
      </c>
      <c r="E6" s="13" t="n">
        <v>20</v>
      </c>
      <c r="F6" s="14" t="n"/>
      <c r="G6" s="14" t="n"/>
      <c r="H6" s="5" t="n"/>
      <c r="I6" s="15" t="n"/>
    </row>
    <row r="7" ht="22" customHeight="1">
      <c r="A7" s="12" t="n">
        <v>6</v>
      </c>
      <c r="B7" s="13" t="inlineStr">
        <is>
          <t>S02</t>
        </is>
      </c>
      <c r="C7" s="13" t="inlineStr">
        <is>
          <t>r1</t>
        </is>
      </c>
      <c r="D7" s="13" t="inlineStr">
        <is>
          <t>实验目的明确</t>
        </is>
      </c>
      <c r="E7" s="13" t="n">
        <v>15</v>
      </c>
      <c r="F7" s="14" t="n"/>
      <c r="G7" s="14" t="n"/>
      <c r="H7" s="5" t="n"/>
      <c r="I7" s="15" t="n"/>
    </row>
    <row r="8" ht="22" customHeight="1">
      <c r="A8" s="12" t="n">
        <v>7</v>
      </c>
      <c r="B8" s="13" t="inlineStr">
        <is>
          <t>S02</t>
        </is>
      </c>
      <c r="C8" s="13" t="inlineStr">
        <is>
          <t>r2</t>
        </is>
      </c>
      <c r="D8" s="13" t="inlineStr">
        <is>
          <t>环境与步骤</t>
        </is>
      </c>
      <c r="E8" s="13" t="n">
        <v>20</v>
      </c>
      <c r="F8" s="14" t="n"/>
      <c r="G8" s="14" t="n"/>
      <c r="H8" s="5" t="n"/>
      <c r="I8" s="15" t="n"/>
    </row>
    <row r="9" ht="22" customHeight="1">
      <c r="A9" s="12" t="n">
        <v>8</v>
      </c>
      <c r="B9" s="13" t="inlineStr">
        <is>
          <t>S02</t>
        </is>
      </c>
      <c r="C9" s="13" t="inlineStr">
        <is>
          <t>r3</t>
        </is>
      </c>
      <c r="D9" s="13" t="inlineStr">
        <is>
          <t>核心实现</t>
        </is>
      </c>
      <c r="E9" s="13" t="n">
        <v>25</v>
      </c>
      <c r="F9" s="14" t="n"/>
      <c r="G9" s="14" t="n"/>
      <c r="H9" s="5" t="n"/>
      <c r="I9" s="15" t="n"/>
    </row>
    <row r="10" ht="22" customHeight="1">
      <c r="A10" s="12" t="n">
        <v>9</v>
      </c>
      <c r="B10" s="13" t="inlineStr">
        <is>
          <t>S02</t>
        </is>
      </c>
      <c r="C10" s="13" t="inlineStr">
        <is>
          <t>r4</t>
        </is>
      </c>
      <c r="D10" s="13" t="inlineStr">
        <is>
          <t>结果与数据</t>
        </is>
      </c>
      <c r="E10" s="13" t="n">
        <v>20</v>
      </c>
      <c r="F10" s="14" t="n"/>
      <c r="G10" s="14" t="n"/>
      <c r="H10" s="5" t="n"/>
      <c r="I10" s="15" t="n"/>
    </row>
    <row r="11" ht="22" customHeight="1">
      <c r="A11" s="12" t="n">
        <v>10</v>
      </c>
      <c r="B11" s="13" t="inlineStr">
        <is>
          <t>S02</t>
        </is>
      </c>
      <c r="C11" s="13" t="inlineStr">
        <is>
          <t>r5</t>
        </is>
      </c>
      <c r="D11" s="13" t="inlineStr">
        <is>
          <t>分析与总结</t>
        </is>
      </c>
      <c r="E11" s="13" t="n">
        <v>20</v>
      </c>
      <c r="F11" s="14" t="n"/>
      <c r="G11" s="14" t="n"/>
      <c r="H11" s="5" t="n"/>
      <c r="I11" s="15" t="n"/>
    </row>
    <row r="12" ht="22" customHeight="1">
      <c r="A12" s="12" t="n">
        <v>11</v>
      </c>
      <c r="B12" s="13" t="inlineStr">
        <is>
          <t>S03</t>
        </is>
      </c>
      <c r="C12" s="13" t="inlineStr">
        <is>
          <t>r1</t>
        </is>
      </c>
      <c r="D12" s="13" t="inlineStr">
        <is>
          <t>实验目的明确</t>
        </is>
      </c>
      <c r="E12" s="13" t="n">
        <v>15</v>
      </c>
      <c r="F12" s="14" t="n"/>
      <c r="G12" s="14" t="n"/>
      <c r="H12" s="5" t="n"/>
      <c r="I12" s="15" t="n"/>
    </row>
    <row r="13" ht="22" customHeight="1">
      <c r="A13" s="12" t="n">
        <v>12</v>
      </c>
      <c r="B13" s="13" t="inlineStr">
        <is>
          <t>S03</t>
        </is>
      </c>
      <c r="C13" s="13" t="inlineStr">
        <is>
          <t>r2</t>
        </is>
      </c>
      <c r="D13" s="13" t="inlineStr">
        <is>
          <t>环境与步骤</t>
        </is>
      </c>
      <c r="E13" s="13" t="n">
        <v>20</v>
      </c>
      <c r="F13" s="14" t="n"/>
      <c r="G13" s="14" t="n"/>
      <c r="H13" s="5" t="n"/>
      <c r="I13" s="15" t="n"/>
    </row>
    <row r="14" ht="22" customHeight="1">
      <c r="A14" s="12" t="n">
        <v>13</v>
      </c>
      <c r="B14" s="13" t="inlineStr">
        <is>
          <t>S03</t>
        </is>
      </c>
      <c r="C14" s="13" t="inlineStr">
        <is>
          <t>r3</t>
        </is>
      </c>
      <c r="D14" s="13" t="inlineStr">
        <is>
          <t>核心实现</t>
        </is>
      </c>
      <c r="E14" s="13" t="n">
        <v>25</v>
      </c>
      <c r="F14" s="14" t="n"/>
      <c r="G14" s="14" t="n"/>
      <c r="H14" s="5" t="n"/>
      <c r="I14" s="15" t="n"/>
    </row>
    <row r="15" ht="22" customHeight="1">
      <c r="A15" s="12" t="n">
        <v>14</v>
      </c>
      <c r="B15" s="13" t="inlineStr">
        <is>
          <t>S03</t>
        </is>
      </c>
      <c r="C15" s="13" t="inlineStr">
        <is>
          <t>r4</t>
        </is>
      </c>
      <c r="D15" s="13" t="inlineStr">
        <is>
          <t>结果与数据</t>
        </is>
      </c>
      <c r="E15" s="13" t="n">
        <v>20</v>
      </c>
      <c r="F15" s="14" t="n"/>
      <c r="G15" s="14" t="n"/>
      <c r="H15" s="5" t="n"/>
      <c r="I15" s="15" t="n"/>
    </row>
    <row r="16" ht="22" customHeight="1">
      <c r="A16" s="12" t="n">
        <v>15</v>
      </c>
      <c r="B16" s="13" t="inlineStr">
        <is>
          <t>S03</t>
        </is>
      </c>
      <c r="C16" s="13" t="inlineStr">
        <is>
          <t>r5</t>
        </is>
      </c>
      <c r="D16" s="13" t="inlineStr">
        <is>
          <t>分析与总结</t>
        </is>
      </c>
      <c r="E16" s="13" t="n">
        <v>20</v>
      </c>
      <c r="F16" s="14" t="n"/>
      <c r="G16" s="14" t="n"/>
      <c r="H16" s="5" t="n"/>
      <c r="I16" s="15" t="n"/>
    </row>
    <row r="17" ht="22" customHeight="1">
      <c r="A17" s="12" t="n">
        <v>16</v>
      </c>
      <c r="B17" s="13" t="inlineStr">
        <is>
          <t>S04</t>
        </is>
      </c>
      <c r="C17" s="13" t="inlineStr">
        <is>
          <t>r1</t>
        </is>
      </c>
      <c r="D17" s="13" t="inlineStr">
        <is>
          <t>实验目的明确</t>
        </is>
      </c>
      <c r="E17" s="13" t="n">
        <v>15</v>
      </c>
      <c r="F17" s="14" t="n"/>
      <c r="G17" s="14" t="n"/>
      <c r="H17" s="5" t="n"/>
      <c r="I17" s="15" t="n"/>
    </row>
    <row r="18" ht="22" customHeight="1">
      <c r="A18" s="12" t="n">
        <v>17</v>
      </c>
      <c r="B18" s="13" t="inlineStr">
        <is>
          <t>S04</t>
        </is>
      </c>
      <c r="C18" s="13" t="inlineStr">
        <is>
          <t>r2</t>
        </is>
      </c>
      <c r="D18" s="13" t="inlineStr">
        <is>
          <t>环境与步骤</t>
        </is>
      </c>
      <c r="E18" s="13" t="n">
        <v>20</v>
      </c>
      <c r="F18" s="14" t="n"/>
      <c r="G18" s="14" t="n"/>
      <c r="H18" s="5" t="n"/>
      <c r="I18" s="15" t="n"/>
    </row>
    <row r="19" ht="22" customHeight="1">
      <c r="A19" s="12" t="n">
        <v>18</v>
      </c>
      <c r="B19" s="13" t="inlineStr">
        <is>
          <t>S04</t>
        </is>
      </c>
      <c r="C19" s="13" t="inlineStr">
        <is>
          <t>r3</t>
        </is>
      </c>
      <c r="D19" s="13" t="inlineStr">
        <is>
          <t>核心实现</t>
        </is>
      </c>
      <c r="E19" s="13" t="n">
        <v>25</v>
      </c>
      <c r="F19" s="14" t="n"/>
      <c r="G19" s="14" t="n"/>
      <c r="H19" s="5" t="n"/>
      <c r="I19" s="15" t="n"/>
    </row>
    <row r="20" ht="22" customHeight="1">
      <c r="A20" s="12" t="n">
        <v>19</v>
      </c>
      <c r="B20" s="13" t="inlineStr">
        <is>
          <t>S04</t>
        </is>
      </c>
      <c r="C20" s="13" t="inlineStr">
        <is>
          <t>r4</t>
        </is>
      </c>
      <c r="D20" s="13" t="inlineStr">
        <is>
          <t>结果与数据</t>
        </is>
      </c>
      <c r="E20" s="13" t="n">
        <v>20</v>
      </c>
      <c r="F20" s="14" t="n"/>
      <c r="G20" s="14" t="n"/>
      <c r="H20" s="5" t="n"/>
      <c r="I20" s="15" t="n"/>
    </row>
    <row r="21" ht="22" customHeight="1">
      <c r="A21" s="12" t="n">
        <v>20</v>
      </c>
      <c r="B21" s="13" t="inlineStr">
        <is>
          <t>S04</t>
        </is>
      </c>
      <c r="C21" s="13" t="inlineStr">
        <is>
          <t>r5</t>
        </is>
      </c>
      <c r="D21" s="13" t="inlineStr">
        <is>
          <t>分析与总结</t>
        </is>
      </c>
      <c r="E21" s="13" t="n">
        <v>20</v>
      </c>
      <c r="F21" s="14" t="n"/>
      <c r="G21" s="14" t="n"/>
      <c r="H21" s="5" t="n"/>
      <c r="I21" s="15" t="n"/>
    </row>
    <row r="22" ht="22" customHeight="1">
      <c r="A22" s="12" t="n">
        <v>21</v>
      </c>
      <c r="B22" s="13" t="inlineStr">
        <is>
          <t>S05</t>
        </is>
      </c>
      <c r="C22" s="13" t="inlineStr">
        <is>
          <t>r1</t>
        </is>
      </c>
      <c r="D22" s="13" t="inlineStr">
        <is>
          <t>实验目的明确</t>
        </is>
      </c>
      <c r="E22" s="13" t="n">
        <v>15</v>
      </c>
      <c r="F22" s="14" t="n"/>
      <c r="G22" s="14" t="n"/>
      <c r="H22" s="5" t="n"/>
      <c r="I22" s="15" t="n"/>
    </row>
    <row r="23" ht="22" customHeight="1">
      <c r="A23" s="12" t="n">
        <v>22</v>
      </c>
      <c r="B23" s="13" t="inlineStr">
        <is>
          <t>S05</t>
        </is>
      </c>
      <c r="C23" s="13" t="inlineStr">
        <is>
          <t>r2</t>
        </is>
      </c>
      <c r="D23" s="13" t="inlineStr">
        <is>
          <t>环境与步骤</t>
        </is>
      </c>
      <c r="E23" s="13" t="n">
        <v>20</v>
      </c>
      <c r="F23" s="14" t="n"/>
      <c r="G23" s="14" t="n"/>
      <c r="H23" s="5" t="n"/>
      <c r="I23" s="15" t="n"/>
    </row>
    <row r="24" ht="22" customHeight="1">
      <c r="A24" s="12" t="n">
        <v>23</v>
      </c>
      <c r="B24" s="13" t="inlineStr">
        <is>
          <t>S05</t>
        </is>
      </c>
      <c r="C24" s="13" t="inlineStr">
        <is>
          <t>r3</t>
        </is>
      </c>
      <c r="D24" s="13" t="inlineStr">
        <is>
          <t>核心实现</t>
        </is>
      </c>
      <c r="E24" s="13" t="n">
        <v>25</v>
      </c>
      <c r="F24" s="14" t="n"/>
      <c r="G24" s="14" t="n"/>
      <c r="H24" s="5" t="n"/>
      <c r="I24" s="15" t="n"/>
    </row>
    <row r="25" ht="22" customHeight="1">
      <c r="A25" s="12" t="n">
        <v>24</v>
      </c>
      <c r="B25" s="13" t="inlineStr">
        <is>
          <t>S05</t>
        </is>
      </c>
      <c r="C25" s="13" t="inlineStr">
        <is>
          <t>r4</t>
        </is>
      </c>
      <c r="D25" s="13" t="inlineStr">
        <is>
          <t>结果与数据</t>
        </is>
      </c>
      <c r="E25" s="13" t="n">
        <v>20</v>
      </c>
      <c r="F25" s="14" t="n"/>
      <c r="G25" s="14" t="n"/>
      <c r="H25" s="5" t="n"/>
      <c r="I25" s="15" t="n"/>
    </row>
    <row r="26" ht="22" customHeight="1">
      <c r="A26" s="12" t="n">
        <v>25</v>
      </c>
      <c r="B26" s="13" t="inlineStr">
        <is>
          <t>S05</t>
        </is>
      </c>
      <c r="C26" s="13" t="inlineStr">
        <is>
          <t>r5</t>
        </is>
      </c>
      <c r="D26" s="13" t="inlineStr">
        <is>
          <t>分析与总结</t>
        </is>
      </c>
      <c r="E26" s="13" t="n">
        <v>20</v>
      </c>
      <c r="F26" s="14" t="n"/>
      <c r="G26" s="14" t="n"/>
      <c r="H26" s="5" t="n"/>
      <c r="I26" s="15" t="n"/>
    </row>
    <row r="27" ht="22" customHeight="1">
      <c r="A27" s="12" t="n">
        <v>26</v>
      </c>
      <c r="B27" s="13" t="inlineStr">
        <is>
          <t>S06</t>
        </is>
      </c>
      <c r="C27" s="13" t="inlineStr">
        <is>
          <t>r1</t>
        </is>
      </c>
      <c r="D27" s="13" t="inlineStr">
        <is>
          <t>实验目的明确</t>
        </is>
      </c>
      <c r="E27" s="13" t="n">
        <v>15</v>
      </c>
      <c r="F27" s="14" t="n"/>
      <c r="G27" s="14" t="n"/>
      <c r="H27" s="5" t="n"/>
      <c r="I27" s="15" t="n"/>
    </row>
    <row r="28" ht="22" customHeight="1">
      <c r="A28" s="12" t="n">
        <v>27</v>
      </c>
      <c r="B28" s="13" t="inlineStr">
        <is>
          <t>S06</t>
        </is>
      </c>
      <c r="C28" s="13" t="inlineStr">
        <is>
          <t>r2</t>
        </is>
      </c>
      <c r="D28" s="13" t="inlineStr">
        <is>
          <t>环境与步骤</t>
        </is>
      </c>
      <c r="E28" s="13" t="n">
        <v>20</v>
      </c>
      <c r="F28" s="14" t="n"/>
      <c r="G28" s="14" t="n"/>
      <c r="H28" s="5" t="n"/>
      <c r="I28" s="15" t="n"/>
    </row>
    <row r="29" ht="22" customHeight="1">
      <c r="A29" s="12" t="n">
        <v>28</v>
      </c>
      <c r="B29" s="13" t="inlineStr">
        <is>
          <t>S06</t>
        </is>
      </c>
      <c r="C29" s="13" t="inlineStr">
        <is>
          <t>r3</t>
        </is>
      </c>
      <c r="D29" s="13" t="inlineStr">
        <is>
          <t>核心实现</t>
        </is>
      </c>
      <c r="E29" s="13" t="n">
        <v>25</v>
      </c>
      <c r="F29" s="14" t="n"/>
      <c r="G29" s="14" t="n"/>
      <c r="H29" s="5" t="n"/>
      <c r="I29" s="15" t="n"/>
    </row>
    <row r="30" ht="22" customHeight="1">
      <c r="A30" s="12" t="n">
        <v>29</v>
      </c>
      <c r="B30" s="13" t="inlineStr">
        <is>
          <t>S06</t>
        </is>
      </c>
      <c r="C30" s="13" t="inlineStr">
        <is>
          <t>r4</t>
        </is>
      </c>
      <c r="D30" s="13" t="inlineStr">
        <is>
          <t>结果与数据</t>
        </is>
      </c>
      <c r="E30" s="13" t="n">
        <v>20</v>
      </c>
      <c r="F30" s="14" t="n"/>
      <c r="G30" s="14" t="n"/>
      <c r="H30" s="5" t="n"/>
      <c r="I30" s="15" t="n"/>
    </row>
    <row r="31" ht="22" customHeight="1">
      <c r="A31" s="12" t="n">
        <v>30</v>
      </c>
      <c r="B31" s="13" t="inlineStr">
        <is>
          <t>S06</t>
        </is>
      </c>
      <c r="C31" s="13" t="inlineStr">
        <is>
          <t>r5</t>
        </is>
      </c>
      <c r="D31" s="13" t="inlineStr">
        <is>
          <t>分析与总结</t>
        </is>
      </c>
      <c r="E31" s="13" t="n">
        <v>20</v>
      </c>
      <c r="F31" s="14" t="n"/>
      <c r="G31" s="14" t="n"/>
      <c r="H31" s="5" t="n"/>
      <c r="I31" s="15" t="n"/>
    </row>
    <row r="32" ht="22" customHeight="1">
      <c r="A32" s="12" t="n">
        <v>31</v>
      </c>
      <c r="B32" s="13" t="inlineStr">
        <is>
          <t>S07</t>
        </is>
      </c>
      <c r="C32" s="13" t="inlineStr">
        <is>
          <t>r1</t>
        </is>
      </c>
      <c r="D32" s="13" t="inlineStr">
        <is>
          <t>实验目的明确</t>
        </is>
      </c>
      <c r="E32" s="13" t="n">
        <v>15</v>
      </c>
      <c r="F32" s="14" t="n"/>
      <c r="G32" s="14" t="n"/>
      <c r="H32" s="5" t="n"/>
      <c r="I32" s="15" t="n"/>
    </row>
    <row r="33" ht="22" customHeight="1">
      <c r="A33" s="12" t="n">
        <v>32</v>
      </c>
      <c r="B33" s="13" t="inlineStr">
        <is>
          <t>S07</t>
        </is>
      </c>
      <c r="C33" s="13" t="inlineStr">
        <is>
          <t>r2</t>
        </is>
      </c>
      <c r="D33" s="13" t="inlineStr">
        <is>
          <t>环境与步骤</t>
        </is>
      </c>
      <c r="E33" s="13" t="n">
        <v>20</v>
      </c>
      <c r="F33" s="14" t="n"/>
      <c r="G33" s="14" t="n"/>
      <c r="H33" s="5" t="n"/>
      <c r="I33" s="15" t="n"/>
    </row>
    <row r="34" ht="22" customHeight="1">
      <c r="A34" s="12" t="n">
        <v>33</v>
      </c>
      <c r="B34" s="13" t="inlineStr">
        <is>
          <t>S07</t>
        </is>
      </c>
      <c r="C34" s="13" t="inlineStr">
        <is>
          <t>r3</t>
        </is>
      </c>
      <c r="D34" s="13" t="inlineStr">
        <is>
          <t>核心实现</t>
        </is>
      </c>
      <c r="E34" s="13" t="n">
        <v>25</v>
      </c>
      <c r="F34" s="14" t="n"/>
      <c r="G34" s="14" t="n"/>
      <c r="H34" s="5" t="n"/>
      <c r="I34" s="15" t="n"/>
    </row>
    <row r="35" ht="22" customHeight="1">
      <c r="A35" s="12" t="n">
        <v>34</v>
      </c>
      <c r="B35" s="13" t="inlineStr">
        <is>
          <t>S07</t>
        </is>
      </c>
      <c r="C35" s="13" t="inlineStr">
        <is>
          <t>r4</t>
        </is>
      </c>
      <c r="D35" s="13" t="inlineStr">
        <is>
          <t>结果与数据</t>
        </is>
      </c>
      <c r="E35" s="13" t="n">
        <v>20</v>
      </c>
      <c r="F35" s="14" t="n"/>
      <c r="G35" s="14" t="n"/>
      <c r="H35" s="5" t="n"/>
      <c r="I35" s="15" t="n"/>
    </row>
    <row r="36" ht="22" customHeight="1">
      <c r="A36" s="12" t="n">
        <v>35</v>
      </c>
      <c r="B36" s="13" t="inlineStr">
        <is>
          <t>S07</t>
        </is>
      </c>
      <c r="C36" s="13" t="inlineStr">
        <is>
          <t>r5</t>
        </is>
      </c>
      <c r="D36" s="13" t="inlineStr">
        <is>
          <t>分析与总结</t>
        </is>
      </c>
      <c r="E36" s="13" t="n">
        <v>20</v>
      </c>
      <c r="F36" s="14" t="n"/>
      <c r="G36" s="14" t="n"/>
      <c r="H36" s="5" t="n"/>
      <c r="I36" s="15" t="n"/>
    </row>
    <row r="37" ht="22" customHeight="1">
      <c r="A37" s="12" t="n">
        <v>36</v>
      </c>
      <c r="B37" s="13" t="inlineStr">
        <is>
          <t>S08</t>
        </is>
      </c>
      <c r="C37" s="13" t="inlineStr">
        <is>
          <t>r1</t>
        </is>
      </c>
      <c r="D37" s="13" t="inlineStr">
        <is>
          <t>实验目的明确</t>
        </is>
      </c>
      <c r="E37" s="13" t="n">
        <v>15</v>
      </c>
      <c r="F37" s="14" t="n"/>
      <c r="G37" s="14" t="n"/>
      <c r="H37" s="5" t="n"/>
      <c r="I37" s="15" t="n"/>
    </row>
    <row r="38" ht="22" customHeight="1">
      <c r="A38" s="12" t="n">
        <v>37</v>
      </c>
      <c r="B38" s="13" t="inlineStr">
        <is>
          <t>S08</t>
        </is>
      </c>
      <c r="C38" s="13" t="inlineStr">
        <is>
          <t>r2</t>
        </is>
      </c>
      <c r="D38" s="13" t="inlineStr">
        <is>
          <t>环境与步骤</t>
        </is>
      </c>
      <c r="E38" s="13" t="n">
        <v>20</v>
      </c>
      <c r="F38" s="14" t="n"/>
      <c r="G38" s="14" t="n"/>
      <c r="H38" s="5" t="n"/>
      <c r="I38" s="15" t="n"/>
    </row>
    <row r="39" ht="22" customHeight="1">
      <c r="A39" s="12" t="n">
        <v>38</v>
      </c>
      <c r="B39" s="13" t="inlineStr">
        <is>
          <t>S08</t>
        </is>
      </c>
      <c r="C39" s="13" t="inlineStr">
        <is>
          <t>r3</t>
        </is>
      </c>
      <c r="D39" s="13" t="inlineStr">
        <is>
          <t>核心实现</t>
        </is>
      </c>
      <c r="E39" s="13" t="n">
        <v>25</v>
      </c>
      <c r="F39" s="14" t="n"/>
      <c r="G39" s="14" t="n"/>
      <c r="H39" s="5" t="n"/>
      <c r="I39" s="15" t="n"/>
    </row>
    <row r="40" ht="22" customHeight="1">
      <c r="A40" s="12" t="n">
        <v>39</v>
      </c>
      <c r="B40" s="13" t="inlineStr">
        <is>
          <t>S08</t>
        </is>
      </c>
      <c r="C40" s="13" t="inlineStr">
        <is>
          <t>r4</t>
        </is>
      </c>
      <c r="D40" s="13" t="inlineStr">
        <is>
          <t>结果与数据</t>
        </is>
      </c>
      <c r="E40" s="13" t="n">
        <v>20</v>
      </c>
      <c r="F40" s="14" t="n"/>
      <c r="G40" s="14" t="n"/>
      <c r="H40" s="5" t="n"/>
      <c r="I40" s="15" t="n"/>
    </row>
    <row r="41" ht="22" customHeight="1">
      <c r="A41" s="12" t="n">
        <v>40</v>
      </c>
      <c r="B41" s="13" t="inlineStr">
        <is>
          <t>S08</t>
        </is>
      </c>
      <c r="C41" s="13" t="inlineStr">
        <is>
          <t>r5</t>
        </is>
      </c>
      <c r="D41" s="13" t="inlineStr">
        <is>
          <t>分析与总结</t>
        </is>
      </c>
      <c r="E41" s="13" t="n">
        <v>20</v>
      </c>
      <c r="F41" s="14" t="n"/>
      <c r="G41" s="14" t="n"/>
      <c r="H41" s="5" t="n"/>
      <c r="I41" s="15" t="n"/>
    </row>
    <row r="42" ht="22" customHeight="1">
      <c r="A42" s="12" t="n">
        <v>41</v>
      </c>
      <c r="B42" s="13" t="inlineStr">
        <is>
          <t>S09</t>
        </is>
      </c>
      <c r="C42" s="13" t="inlineStr">
        <is>
          <t>r1</t>
        </is>
      </c>
      <c r="D42" s="13" t="inlineStr">
        <is>
          <t>实验目的明确</t>
        </is>
      </c>
      <c r="E42" s="13" t="n">
        <v>15</v>
      </c>
      <c r="F42" s="14" t="n"/>
      <c r="G42" s="14" t="n"/>
      <c r="H42" s="5" t="n"/>
      <c r="I42" s="15" t="n"/>
    </row>
    <row r="43" ht="22" customHeight="1">
      <c r="A43" s="12" t="n">
        <v>42</v>
      </c>
      <c r="B43" s="13" t="inlineStr">
        <is>
          <t>S09</t>
        </is>
      </c>
      <c r="C43" s="13" t="inlineStr">
        <is>
          <t>r2</t>
        </is>
      </c>
      <c r="D43" s="13" t="inlineStr">
        <is>
          <t>环境与步骤</t>
        </is>
      </c>
      <c r="E43" s="13" t="n">
        <v>20</v>
      </c>
      <c r="F43" s="14" t="n"/>
      <c r="G43" s="14" t="n"/>
      <c r="H43" s="5" t="n"/>
      <c r="I43" s="15" t="n"/>
    </row>
    <row r="44" ht="22" customHeight="1">
      <c r="A44" s="12" t="n">
        <v>43</v>
      </c>
      <c r="B44" s="13" t="inlineStr">
        <is>
          <t>S09</t>
        </is>
      </c>
      <c r="C44" s="13" t="inlineStr">
        <is>
          <t>r3</t>
        </is>
      </c>
      <c r="D44" s="13" t="inlineStr">
        <is>
          <t>核心实现</t>
        </is>
      </c>
      <c r="E44" s="13" t="n">
        <v>25</v>
      </c>
      <c r="F44" s="14" t="n"/>
      <c r="G44" s="14" t="n"/>
      <c r="H44" s="5" t="n"/>
      <c r="I44" s="15" t="n"/>
    </row>
    <row r="45" ht="22" customHeight="1">
      <c r="A45" s="12" t="n">
        <v>44</v>
      </c>
      <c r="B45" s="13" t="inlineStr">
        <is>
          <t>S09</t>
        </is>
      </c>
      <c r="C45" s="13" t="inlineStr">
        <is>
          <t>r4</t>
        </is>
      </c>
      <c r="D45" s="13" t="inlineStr">
        <is>
          <t>结果与数据</t>
        </is>
      </c>
      <c r="E45" s="13" t="n">
        <v>20</v>
      </c>
      <c r="F45" s="14" t="n"/>
      <c r="G45" s="14" t="n"/>
      <c r="H45" s="5" t="n"/>
      <c r="I45" s="15" t="n"/>
    </row>
    <row r="46" ht="22" customHeight="1">
      <c r="A46" s="12" t="n">
        <v>45</v>
      </c>
      <c r="B46" s="13" t="inlineStr">
        <is>
          <t>S09</t>
        </is>
      </c>
      <c r="C46" s="13" t="inlineStr">
        <is>
          <t>r5</t>
        </is>
      </c>
      <c r="D46" s="13" t="inlineStr">
        <is>
          <t>分析与总结</t>
        </is>
      </c>
      <c r="E46" s="13" t="n">
        <v>20</v>
      </c>
      <c r="F46" s="14" t="n"/>
      <c r="G46" s="14" t="n"/>
      <c r="H46" s="5" t="n"/>
      <c r="I46" s="15" t="n"/>
    </row>
    <row r="47" ht="22" customHeight="1">
      <c r="A47" s="12" t="n">
        <v>46</v>
      </c>
      <c r="B47" s="13" t="inlineStr">
        <is>
          <t>S10</t>
        </is>
      </c>
      <c r="C47" s="13" t="inlineStr">
        <is>
          <t>r1</t>
        </is>
      </c>
      <c r="D47" s="13" t="inlineStr">
        <is>
          <t>实验目的明确</t>
        </is>
      </c>
      <c r="E47" s="13" t="n">
        <v>15</v>
      </c>
      <c r="F47" s="14" t="n"/>
      <c r="G47" s="14" t="n"/>
      <c r="H47" s="5" t="n"/>
      <c r="I47" s="15" t="n"/>
    </row>
    <row r="48" ht="22" customHeight="1">
      <c r="A48" s="12" t="n">
        <v>47</v>
      </c>
      <c r="B48" s="13" t="inlineStr">
        <is>
          <t>S10</t>
        </is>
      </c>
      <c r="C48" s="13" t="inlineStr">
        <is>
          <t>r2</t>
        </is>
      </c>
      <c r="D48" s="13" t="inlineStr">
        <is>
          <t>环境与步骤</t>
        </is>
      </c>
      <c r="E48" s="13" t="n">
        <v>20</v>
      </c>
      <c r="F48" s="14" t="n"/>
      <c r="G48" s="14" t="n"/>
      <c r="H48" s="5" t="n"/>
      <c r="I48" s="15" t="n"/>
    </row>
    <row r="49" ht="22" customHeight="1">
      <c r="A49" s="12" t="n">
        <v>48</v>
      </c>
      <c r="B49" s="13" t="inlineStr">
        <is>
          <t>S10</t>
        </is>
      </c>
      <c r="C49" s="13" t="inlineStr">
        <is>
          <t>r3</t>
        </is>
      </c>
      <c r="D49" s="13" t="inlineStr">
        <is>
          <t>核心实现</t>
        </is>
      </c>
      <c r="E49" s="13" t="n">
        <v>25</v>
      </c>
      <c r="F49" s="14" t="n"/>
      <c r="G49" s="14" t="n"/>
      <c r="H49" s="5" t="n"/>
      <c r="I49" s="15" t="n"/>
    </row>
    <row r="50" ht="22" customHeight="1">
      <c r="A50" s="12" t="n">
        <v>49</v>
      </c>
      <c r="B50" s="13" t="inlineStr">
        <is>
          <t>S10</t>
        </is>
      </c>
      <c r="C50" s="13" t="inlineStr">
        <is>
          <t>r4</t>
        </is>
      </c>
      <c r="D50" s="13" t="inlineStr">
        <is>
          <t>结果与数据</t>
        </is>
      </c>
      <c r="E50" s="13" t="n">
        <v>20</v>
      </c>
      <c r="F50" s="14" t="n"/>
      <c r="G50" s="14" t="n"/>
      <c r="H50" s="5" t="n"/>
      <c r="I50" s="15" t="n"/>
    </row>
    <row r="51" ht="22" customHeight="1">
      <c r="A51" s="12" t="n">
        <v>50</v>
      </c>
      <c r="B51" s="13" t="inlineStr">
        <is>
          <t>S10</t>
        </is>
      </c>
      <c r="C51" s="13" t="inlineStr">
        <is>
          <t>r5</t>
        </is>
      </c>
      <c r="D51" s="13" t="inlineStr">
        <is>
          <t>分析与总结</t>
        </is>
      </c>
      <c r="E51" s="13" t="n">
        <v>20</v>
      </c>
      <c r="F51" s="14" t="n"/>
      <c r="G51" s="14" t="n"/>
      <c r="H51" s="5" t="n"/>
      <c r="I51" s="15" t="n"/>
    </row>
  </sheetData>
  <autoFilter ref="A1:I51"/>
  <dataValidations count="100">
    <dataValidation sqref="F2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2" showDropDown="0" showInputMessage="0" showErrorMessage="1" allowBlank="1" errorTitle="只能选三项" error="请从下拉里选 hit / partial / miss。" type="list">
      <formula1>"hit,partial,miss"</formula1>
    </dataValidation>
    <dataValidation sqref="F3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3" showDropDown="0" showInputMessage="0" showErrorMessage="1" allowBlank="1" errorTitle="只能选三项" error="请从下拉里选 hit / partial / miss。" type="list">
      <formula1>"hit,partial,miss"</formula1>
    </dataValidation>
    <dataValidation sqref="F4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4" showDropDown="0" showInputMessage="0" showErrorMessage="1" allowBlank="1" errorTitle="只能选三项" error="请从下拉里选 hit / partial / miss。" type="list">
      <formula1>"hit,partial,miss"</formula1>
    </dataValidation>
    <dataValidation sqref="F5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5" showDropDown="0" showInputMessage="0" showErrorMessage="1" allowBlank="1" errorTitle="只能选三项" error="请从下拉里选 hit / partial / miss。" type="list">
      <formula1>"hit,partial,miss"</formula1>
    </dataValidation>
    <dataValidation sqref="F6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6" showDropDown="0" showInputMessage="0" showErrorMessage="1" allowBlank="1" errorTitle="只能选三项" error="请从下拉里选 hit / partial / miss。" type="list">
      <formula1>"hit,partial,miss"</formula1>
    </dataValidation>
    <dataValidation sqref="F7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7" showDropDown="0" showInputMessage="0" showErrorMessage="1" allowBlank="1" errorTitle="只能选三项" error="请从下拉里选 hit / partial / miss。" type="list">
      <formula1>"hit,partial,miss"</formula1>
    </dataValidation>
    <dataValidation sqref="F8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8" showDropDown="0" showInputMessage="0" showErrorMessage="1" allowBlank="1" errorTitle="只能选三项" error="请从下拉里选 hit / partial / miss。" type="list">
      <formula1>"hit,partial,miss"</formula1>
    </dataValidation>
    <dataValidation sqref="F9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9" showDropDown="0" showInputMessage="0" showErrorMessage="1" allowBlank="1" errorTitle="只能选三项" error="请从下拉里选 hit / partial / miss。" type="list">
      <formula1>"hit,partial,miss"</formula1>
    </dataValidation>
    <dataValidation sqref="F10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10" showDropDown="0" showInputMessage="0" showErrorMessage="1" allowBlank="1" errorTitle="只能选三项" error="请从下拉里选 hit / partial / miss。" type="list">
      <formula1>"hit,partial,miss"</formula1>
    </dataValidation>
    <dataValidation sqref="F11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11" showDropDown="0" showInputMessage="0" showErrorMessage="1" allowBlank="1" errorTitle="只能选三项" error="请从下拉里选 hit / partial / miss。" type="list">
      <formula1>"hit,partial,miss"</formula1>
    </dataValidation>
    <dataValidation sqref="F12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12" showDropDown="0" showInputMessage="0" showErrorMessage="1" allowBlank="1" errorTitle="只能选三项" error="请从下拉里选 hit / partial / miss。" type="list">
      <formula1>"hit,partial,miss"</formula1>
    </dataValidation>
    <dataValidation sqref="F13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13" showDropDown="0" showInputMessage="0" showErrorMessage="1" allowBlank="1" errorTitle="只能选三项" error="请从下拉里选 hit / partial / miss。" type="list">
      <formula1>"hit,partial,miss"</formula1>
    </dataValidation>
    <dataValidation sqref="F14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14" showDropDown="0" showInputMessage="0" showErrorMessage="1" allowBlank="1" errorTitle="只能选三项" error="请从下拉里选 hit / partial / miss。" type="list">
      <formula1>"hit,partial,miss"</formula1>
    </dataValidation>
    <dataValidation sqref="F15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15" showDropDown="0" showInputMessage="0" showErrorMessage="1" allowBlank="1" errorTitle="只能选三项" error="请从下拉里选 hit / partial / miss。" type="list">
      <formula1>"hit,partial,miss"</formula1>
    </dataValidation>
    <dataValidation sqref="F16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16" showDropDown="0" showInputMessage="0" showErrorMessage="1" allowBlank="1" errorTitle="只能选三项" error="请从下拉里选 hit / partial / miss。" type="list">
      <formula1>"hit,partial,miss"</formula1>
    </dataValidation>
    <dataValidation sqref="F17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17" showDropDown="0" showInputMessage="0" showErrorMessage="1" allowBlank="1" errorTitle="只能选三项" error="请从下拉里选 hit / partial / miss。" type="list">
      <formula1>"hit,partial,miss"</formula1>
    </dataValidation>
    <dataValidation sqref="F18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18" showDropDown="0" showInputMessage="0" showErrorMessage="1" allowBlank="1" errorTitle="只能选三项" error="请从下拉里选 hit / partial / miss。" type="list">
      <formula1>"hit,partial,miss"</formula1>
    </dataValidation>
    <dataValidation sqref="F19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19" showDropDown="0" showInputMessage="0" showErrorMessage="1" allowBlank="1" errorTitle="只能选三项" error="请从下拉里选 hit / partial / miss。" type="list">
      <formula1>"hit,partial,miss"</formula1>
    </dataValidation>
    <dataValidation sqref="F20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20" showDropDown="0" showInputMessage="0" showErrorMessage="1" allowBlank="1" errorTitle="只能选三项" error="请从下拉里选 hit / partial / miss。" type="list">
      <formula1>"hit,partial,miss"</formula1>
    </dataValidation>
    <dataValidation sqref="F21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21" showDropDown="0" showInputMessage="0" showErrorMessage="1" allowBlank="1" errorTitle="只能选三项" error="请从下拉里选 hit / partial / miss。" type="list">
      <formula1>"hit,partial,miss"</formula1>
    </dataValidation>
    <dataValidation sqref="F22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22" showDropDown="0" showInputMessage="0" showErrorMessage="1" allowBlank="1" errorTitle="只能选三项" error="请从下拉里选 hit / partial / miss。" type="list">
      <formula1>"hit,partial,miss"</formula1>
    </dataValidation>
    <dataValidation sqref="F23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23" showDropDown="0" showInputMessage="0" showErrorMessage="1" allowBlank="1" errorTitle="只能选三项" error="请从下拉里选 hit / partial / miss。" type="list">
      <formula1>"hit,partial,miss"</formula1>
    </dataValidation>
    <dataValidation sqref="F24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24" showDropDown="0" showInputMessage="0" showErrorMessage="1" allowBlank="1" errorTitle="只能选三项" error="请从下拉里选 hit / partial / miss。" type="list">
      <formula1>"hit,partial,miss"</formula1>
    </dataValidation>
    <dataValidation sqref="F25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25" showDropDown="0" showInputMessage="0" showErrorMessage="1" allowBlank="1" errorTitle="只能选三项" error="请从下拉里选 hit / partial / miss。" type="list">
      <formula1>"hit,partial,miss"</formula1>
    </dataValidation>
    <dataValidation sqref="F26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26" showDropDown="0" showInputMessage="0" showErrorMessage="1" allowBlank="1" errorTitle="只能选三项" error="请从下拉里选 hit / partial / miss。" type="list">
      <formula1>"hit,partial,miss"</formula1>
    </dataValidation>
    <dataValidation sqref="F27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27" showDropDown="0" showInputMessage="0" showErrorMessage="1" allowBlank="1" errorTitle="只能选三项" error="请从下拉里选 hit / partial / miss。" type="list">
      <formula1>"hit,partial,miss"</formula1>
    </dataValidation>
    <dataValidation sqref="F28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28" showDropDown="0" showInputMessage="0" showErrorMessage="1" allowBlank="1" errorTitle="只能选三项" error="请从下拉里选 hit / partial / miss。" type="list">
      <formula1>"hit,partial,miss"</formula1>
    </dataValidation>
    <dataValidation sqref="F29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29" showDropDown="0" showInputMessage="0" showErrorMessage="1" allowBlank="1" errorTitle="只能选三项" error="请从下拉里选 hit / partial / miss。" type="list">
      <formula1>"hit,partial,miss"</formula1>
    </dataValidation>
    <dataValidation sqref="F30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30" showDropDown="0" showInputMessage="0" showErrorMessage="1" allowBlank="1" errorTitle="只能选三项" error="请从下拉里选 hit / partial / miss。" type="list">
      <formula1>"hit,partial,miss"</formula1>
    </dataValidation>
    <dataValidation sqref="F31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31" showDropDown="0" showInputMessage="0" showErrorMessage="1" allowBlank="1" errorTitle="只能选三项" error="请从下拉里选 hit / partial / miss。" type="list">
      <formula1>"hit,partial,miss"</formula1>
    </dataValidation>
    <dataValidation sqref="F32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32" showDropDown="0" showInputMessage="0" showErrorMessage="1" allowBlank="1" errorTitle="只能选三项" error="请从下拉里选 hit / partial / miss。" type="list">
      <formula1>"hit,partial,miss"</formula1>
    </dataValidation>
    <dataValidation sqref="F33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33" showDropDown="0" showInputMessage="0" showErrorMessage="1" allowBlank="1" errorTitle="只能选三项" error="请从下拉里选 hit / partial / miss。" type="list">
      <formula1>"hit,partial,miss"</formula1>
    </dataValidation>
    <dataValidation sqref="F34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34" showDropDown="0" showInputMessage="0" showErrorMessage="1" allowBlank="1" errorTitle="只能选三项" error="请从下拉里选 hit / partial / miss。" type="list">
      <formula1>"hit,partial,miss"</formula1>
    </dataValidation>
    <dataValidation sqref="F35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35" showDropDown="0" showInputMessage="0" showErrorMessage="1" allowBlank="1" errorTitle="只能选三项" error="请从下拉里选 hit / partial / miss。" type="list">
      <formula1>"hit,partial,miss"</formula1>
    </dataValidation>
    <dataValidation sqref="F36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36" showDropDown="0" showInputMessage="0" showErrorMessage="1" allowBlank="1" errorTitle="只能选三项" error="请从下拉里选 hit / partial / miss。" type="list">
      <formula1>"hit,partial,miss"</formula1>
    </dataValidation>
    <dataValidation sqref="F37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37" showDropDown="0" showInputMessage="0" showErrorMessage="1" allowBlank="1" errorTitle="只能选三项" error="请从下拉里选 hit / partial / miss。" type="list">
      <formula1>"hit,partial,miss"</formula1>
    </dataValidation>
    <dataValidation sqref="F38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38" showDropDown="0" showInputMessage="0" showErrorMessage="1" allowBlank="1" errorTitle="只能选三项" error="请从下拉里选 hit / partial / miss。" type="list">
      <formula1>"hit,partial,miss"</formula1>
    </dataValidation>
    <dataValidation sqref="F39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39" showDropDown="0" showInputMessage="0" showErrorMessage="1" allowBlank="1" errorTitle="只能选三项" error="请从下拉里选 hit / partial / miss。" type="list">
      <formula1>"hit,partial,miss"</formula1>
    </dataValidation>
    <dataValidation sqref="F40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40" showDropDown="0" showInputMessage="0" showErrorMessage="1" allowBlank="1" errorTitle="只能选三项" error="请从下拉里选 hit / partial / miss。" type="list">
      <formula1>"hit,partial,miss"</formula1>
    </dataValidation>
    <dataValidation sqref="F41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41" showDropDown="0" showInputMessage="0" showErrorMessage="1" allowBlank="1" errorTitle="只能选三项" error="请从下拉里选 hit / partial / miss。" type="list">
      <formula1>"hit,partial,miss"</formula1>
    </dataValidation>
    <dataValidation sqref="F42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42" showDropDown="0" showInputMessage="0" showErrorMessage="1" allowBlank="1" errorTitle="只能选三项" error="请从下拉里选 hit / partial / miss。" type="list">
      <formula1>"hit,partial,miss"</formula1>
    </dataValidation>
    <dataValidation sqref="F43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43" showDropDown="0" showInputMessage="0" showErrorMessage="1" allowBlank="1" errorTitle="只能选三项" error="请从下拉里选 hit / partial / miss。" type="list">
      <formula1>"hit,partial,miss"</formula1>
    </dataValidation>
    <dataValidation sqref="F44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44" showDropDown="0" showInputMessage="0" showErrorMessage="1" allowBlank="1" errorTitle="只能选三项" error="请从下拉里选 hit / partial / miss。" type="list">
      <formula1>"hit,partial,miss"</formula1>
    </dataValidation>
    <dataValidation sqref="F45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45" showDropDown="0" showInputMessage="0" showErrorMessage="1" allowBlank="1" errorTitle="只能选三项" error="请从下拉里选 hit / partial / miss。" type="list">
      <formula1>"hit,partial,miss"</formula1>
    </dataValidation>
    <dataValidation sqref="F46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46" showDropDown="0" showInputMessage="0" showErrorMessage="1" allowBlank="1" errorTitle="只能选三项" error="请从下拉里选 hit / partial / miss。" type="list">
      <formula1>"hit,partial,miss"</formula1>
    </dataValidation>
    <dataValidation sqref="F47" showDropDown="0" showInputMessage="0" showErrorMessage="1" allowBlank="1" errorTitle="超出范围" error="该项满分 15 分，请输入 0 到 15 之间的数字。" promptTitle="人工得分" prompt="0 – 15，可填小数" type="decimal" operator="between">
      <formula1>0</formula1>
      <formula2>15</formula2>
    </dataValidation>
    <dataValidation sqref="G47" showDropDown="0" showInputMessage="0" showErrorMessage="1" allowBlank="1" errorTitle="只能选三项" error="请从下拉里选 hit / partial / miss。" type="list">
      <formula1>"hit,partial,miss"</formula1>
    </dataValidation>
    <dataValidation sqref="F48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48" showDropDown="0" showInputMessage="0" showErrorMessage="1" allowBlank="1" errorTitle="只能选三项" error="请从下拉里选 hit / partial / miss。" type="list">
      <formula1>"hit,partial,miss"</formula1>
    </dataValidation>
    <dataValidation sqref="F49" showDropDown="0" showInputMessage="0" showErrorMessage="1" allowBlank="1" errorTitle="超出范围" error="该项满分 25 分，请输入 0 到 25 之间的数字。" promptTitle="人工得分" prompt="0 – 25，可填小数" type="decimal" operator="between">
      <formula1>0</formula1>
      <formula2>25</formula2>
    </dataValidation>
    <dataValidation sqref="G49" showDropDown="0" showInputMessage="0" showErrorMessage="1" allowBlank="1" errorTitle="只能选三项" error="请从下拉里选 hit / partial / miss。" type="list">
      <formula1>"hit,partial,miss"</formula1>
    </dataValidation>
    <dataValidation sqref="F50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50" showDropDown="0" showInputMessage="0" showErrorMessage="1" allowBlank="1" errorTitle="只能选三项" error="请从下拉里选 hit / partial / miss。" type="list">
      <formula1>"hit,partial,miss"</formula1>
    </dataValidation>
    <dataValidation sqref="F51" showDropDown="0" showInputMessage="0" showErrorMessage="1" allowBlank="1" errorTitle="超出范围" error="该项满分 20 分，请输入 0 到 20 之间的数字。" promptTitle="人工得分" prompt="0 – 20，可填小数" type="decimal" operator="between">
      <formula1>0</formula1>
      <formula2>20</formula2>
    </dataValidation>
    <dataValidation sqref="G51" showDropDown="0" showInputMessage="0" showErrorMessage="1" allowBlank="1" errorTitle="只能选三项" error="请从下拉里选 hit / partial / miss。" type="list">
      <formula1>"hit,partial,miss"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0" customWidth="1" min="2" max="2"/>
    <col width="18" customWidth="1" min="3" max="3"/>
    <col width="20" customWidth="1" min="4" max="4"/>
    <col width="18" customWidth="1" min="5" max="5"/>
    <col width="18" customWidth="1" min="6" max="6"/>
    <col width="12" customWidth="1" min="7" max="7"/>
    <col width="34" customWidth="1" min="8" max="8"/>
    <col width="12" customWidth="1" min="9" max="9"/>
  </cols>
  <sheetData>
    <row r="1" ht="30" customHeight="1">
      <c r="A1" s="6" t="inlineStr">
        <is>
          <t>报告ID</t>
        </is>
      </c>
      <c r="B1" s="6" t="inlineStr">
        <is>
          <t>r1 实验目的(15)</t>
        </is>
      </c>
      <c r="C1" s="6" t="inlineStr">
        <is>
          <t>r2 环境与步骤(20)</t>
        </is>
      </c>
      <c r="D1" s="6" t="inlineStr">
        <is>
          <t>r3 核心实现(25)</t>
        </is>
      </c>
      <c r="E1" s="6" t="inlineStr">
        <is>
          <t>r4 结果与数据(20)</t>
        </is>
      </c>
      <c r="F1" s="6" t="inlineStr">
        <is>
          <t>r5 分析与总结(20)</t>
        </is>
      </c>
      <c r="G1" s="6" t="inlineStr">
        <is>
          <t>总分</t>
        </is>
      </c>
      <c r="H1" s="6" t="inlineStr">
        <is>
          <t>整体印象（可选）</t>
        </is>
      </c>
      <c r="I1" s="6" t="inlineStr">
        <is>
          <t>耗时(分钟)</t>
        </is>
      </c>
    </row>
    <row r="2" ht="22" customHeight="1">
      <c r="A2" s="13" t="inlineStr">
        <is>
          <t>S01</t>
        </is>
      </c>
      <c r="B2" s="13">
        <f>SUMIFS('③ 逐项打分'!$F$2:$F$51,'③ 逐项打分'!$B$2:$B$51,$A2,'③ 逐项打分'!$C$2:$C$51,"r1")</f>
        <v/>
      </c>
      <c r="C2" s="13">
        <f>SUMIFS('③ 逐项打分'!$F$2:$F$51,'③ 逐项打分'!$B$2:$B$51,$A2,'③ 逐项打分'!$C$2:$C$51,"r2")</f>
        <v/>
      </c>
      <c r="D2" s="13">
        <f>SUMIFS('③ 逐项打分'!$F$2:$F$51,'③ 逐项打分'!$B$2:$B$51,$A2,'③ 逐项打分'!$C$2:$C$51,"r3")</f>
        <v/>
      </c>
      <c r="E2" s="13">
        <f>SUMIFS('③ 逐项打分'!$F$2:$F$51,'③ 逐项打分'!$B$2:$B$51,$A2,'③ 逐项打分'!$C$2:$C$51,"r4")</f>
        <v/>
      </c>
      <c r="F2" s="13">
        <f>SUMIFS('③ 逐项打分'!$F$2:$F$51,'③ 逐项打分'!$B$2:$B$51,$A2,'③ 逐项打分'!$C$2:$C$51,"r5")</f>
        <v/>
      </c>
      <c r="G2" s="16">
        <f>SUM(B2:F2)</f>
        <v/>
      </c>
      <c r="H2" s="15" t="n"/>
      <c r="I2" s="17" t="n"/>
    </row>
    <row r="3" ht="22" customHeight="1">
      <c r="A3" s="13" t="inlineStr">
        <is>
          <t>S02</t>
        </is>
      </c>
      <c r="B3" s="13">
        <f>SUMIFS('③ 逐项打分'!$F$2:$F$51,'③ 逐项打分'!$B$2:$B$51,$A3,'③ 逐项打分'!$C$2:$C$51,"r1")</f>
        <v/>
      </c>
      <c r="C3" s="13">
        <f>SUMIFS('③ 逐项打分'!$F$2:$F$51,'③ 逐项打分'!$B$2:$B$51,$A3,'③ 逐项打分'!$C$2:$C$51,"r2")</f>
        <v/>
      </c>
      <c r="D3" s="13">
        <f>SUMIFS('③ 逐项打分'!$F$2:$F$51,'③ 逐项打分'!$B$2:$B$51,$A3,'③ 逐项打分'!$C$2:$C$51,"r3")</f>
        <v/>
      </c>
      <c r="E3" s="13">
        <f>SUMIFS('③ 逐项打分'!$F$2:$F$51,'③ 逐项打分'!$B$2:$B$51,$A3,'③ 逐项打分'!$C$2:$C$51,"r4")</f>
        <v/>
      </c>
      <c r="F3" s="13">
        <f>SUMIFS('③ 逐项打分'!$F$2:$F$51,'③ 逐项打分'!$B$2:$B$51,$A3,'③ 逐项打分'!$C$2:$C$51,"r5")</f>
        <v/>
      </c>
      <c r="G3" s="16">
        <f>SUM(B3:F3)</f>
        <v/>
      </c>
      <c r="H3" s="15" t="n"/>
      <c r="I3" s="17" t="n"/>
    </row>
    <row r="4" ht="22" customHeight="1">
      <c r="A4" s="13" t="inlineStr">
        <is>
          <t>S03</t>
        </is>
      </c>
      <c r="B4" s="13">
        <f>SUMIFS('③ 逐项打分'!$F$2:$F$51,'③ 逐项打分'!$B$2:$B$51,$A4,'③ 逐项打分'!$C$2:$C$51,"r1")</f>
        <v/>
      </c>
      <c r="C4" s="13">
        <f>SUMIFS('③ 逐项打分'!$F$2:$F$51,'③ 逐项打分'!$B$2:$B$51,$A4,'③ 逐项打分'!$C$2:$C$51,"r2")</f>
        <v/>
      </c>
      <c r="D4" s="13">
        <f>SUMIFS('③ 逐项打分'!$F$2:$F$51,'③ 逐项打分'!$B$2:$B$51,$A4,'③ 逐项打分'!$C$2:$C$51,"r3")</f>
        <v/>
      </c>
      <c r="E4" s="13">
        <f>SUMIFS('③ 逐项打分'!$F$2:$F$51,'③ 逐项打分'!$B$2:$B$51,$A4,'③ 逐项打分'!$C$2:$C$51,"r4")</f>
        <v/>
      </c>
      <c r="F4" s="13">
        <f>SUMIFS('③ 逐项打分'!$F$2:$F$51,'③ 逐项打分'!$B$2:$B$51,$A4,'③ 逐项打分'!$C$2:$C$51,"r5")</f>
        <v/>
      </c>
      <c r="G4" s="16">
        <f>SUM(B4:F4)</f>
        <v/>
      </c>
      <c r="H4" s="15" t="n"/>
      <c r="I4" s="17" t="n"/>
    </row>
    <row r="5" ht="22" customHeight="1">
      <c r="A5" s="13" t="inlineStr">
        <is>
          <t>S04</t>
        </is>
      </c>
      <c r="B5" s="13">
        <f>SUMIFS('③ 逐项打分'!$F$2:$F$51,'③ 逐项打分'!$B$2:$B$51,$A5,'③ 逐项打分'!$C$2:$C$51,"r1")</f>
        <v/>
      </c>
      <c r="C5" s="13">
        <f>SUMIFS('③ 逐项打分'!$F$2:$F$51,'③ 逐项打分'!$B$2:$B$51,$A5,'③ 逐项打分'!$C$2:$C$51,"r2")</f>
        <v/>
      </c>
      <c r="D5" s="13">
        <f>SUMIFS('③ 逐项打分'!$F$2:$F$51,'③ 逐项打分'!$B$2:$B$51,$A5,'③ 逐项打分'!$C$2:$C$51,"r3")</f>
        <v/>
      </c>
      <c r="E5" s="13">
        <f>SUMIFS('③ 逐项打分'!$F$2:$F$51,'③ 逐项打分'!$B$2:$B$51,$A5,'③ 逐项打分'!$C$2:$C$51,"r4")</f>
        <v/>
      </c>
      <c r="F5" s="13">
        <f>SUMIFS('③ 逐项打分'!$F$2:$F$51,'③ 逐项打分'!$B$2:$B$51,$A5,'③ 逐项打分'!$C$2:$C$51,"r5")</f>
        <v/>
      </c>
      <c r="G5" s="16">
        <f>SUM(B5:F5)</f>
        <v/>
      </c>
      <c r="H5" s="15" t="n"/>
      <c r="I5" s="17" t="n"/>
    </row>
    <row r="6" ht="22" customHeight="1">
      <c r="A6" s="13" t="inlineStr">
        <is>
          <t>S05</t>
        </is>
      </c>
      <c r="B6" s="13">
        <f>SUMIFS('③ 逐项打分'!$F$2:$F$51,'③ 逐项打分'!$B$2:$B$51,$A6,'③ 逐项打分'!$C$2:$C$51,"r1")</f>
        <v/>
      </c>
      <c r="C6" s="13">
        <f>SUMIFS('③ 逐项打分'!$F$2:$F$51,'③ 逐项打分'!$B$2:$B$51,$A6,'③ 逐项打分'!$C$2:$C$51,"r2")</f>
        <v/>
      </c>
      <c r="D6" s="13">
        <f>SUMIFS('③ 逐项打分'!$F$2:$F$51,'③ 逐项打分'!$B$2:$B$51,$A6,'③ 逐项打分'!$C$2:$C$51,"r3")</f>
        <v/>
      </c>
      <c r="E6" s="13">
        <f>SUMIFS('③ 逐项打分'!$F$2:$F$51,'③ 逐项打分'!$B$2:$B$51,$A6,'③ 逐项打分'!$C$2:$C$51,"r4")</f>
        <v/>
      </c>
      <c r="F6" s="13">
        <f>SUMIFS('③ 逐项打分'!$F$2:$F$51,'③ 逐项打分'!$B$2:$B$51,$A6,'③ 逐项打分'!$C$2:$C$51,"r5")</f>
        <v/>
      </c>
      <c r="G6" s="16">
        <f>SUM(B6:F6)</f>
        <v/>
      </c>
      <c r="H6" s="15" t="n"/>
      <c r="I6" s="17" t="n"/>
    </row>
    <row r="7" ht="22" customHeight="1">
      <c r="A7" s="13" t="inlineStr">
        <is>
          <t>S06</t>
        </is>
      </c>
      <c r="B7" s="13">
        <f>SUMIFS('③ 逐项打分'!$F$2:$F$51,'③ 逐项打分'!$B$2:$B$51,$A7,'③ 逐项打分'!$C$2:$C$51,"r1")</f>
        <v/>
      </c>
      <c r="C7" s="13">
        <f>SUMIFS('③ 逐项打分'!$F$2:$F$51,'③ 逐项打分'!$B$2:$B$51,$A7,'③ 逐项打分'!$C$2:$C$51,"r2")</f>
        <v/>
      </c>
      <c r="D7" s="13">
        <f>SUMIFS('③ 逐项打分'!$F$2:$F$51,'③ 逐项打分'!$B$2:$B$51,$A7,'③ 逐项打分'!$C$2:$C$51,"r3")</f>
        <v/>
      </c>
      <c r="E7" s="13">
        <f>SUMIFS('③ 逐项打分'!$F$2:$F$51,'③ 逐项打分'!$B$2:$B$51,$A7,'③ 逐项打分'!$C$2:$C$51,"r4")</f>
        <v/>
      </c>
      <c r="F7" s="13">
        <f>SUMIFS('③ 逐项打分'!$F$2:$F$51,'③ 逐项打分'!$B$2:$B$51,$A7,'③ 逐项打分'!$C$2:$C$51,"r5")</f>
        <v/>
      </c>
      <c r="G7" s="16">
        <f>SUM(B7:F7)</f>
        <v/>
      </c>
      <c r="H7" s="15" t="n"/>
      <c r="I7" s="17" t="n"/>
    </row>
    <row r="8" ht="22" customHeight="1">
      <c r="A8" s="13" t="inlineStr">
        <is>
          <t>S07</t>
        </is>
      </c>
      <c r="B8" s="13">
        <f>SUMIFS('③ 逐项打分'!$F$2:$F$51,'③ 逐项打分'!$B$2:$B$51,$A8,'③ 逐项打分'!$C$2:$C$51,"r1")</f>
        <v/>
      </c>
      <c r="C8" s="13">
        <f>SUMIFS('③ 逐项打分'!$F$2:$F$51,'③ 逐项打分'!$B$2:$B$51,$A8,'③ 逐项打分'!$C$2:$C$51,"r2")</f>
        <v/>
      </c>
      <c r="D8" s="13">
        <f>SUMIFS('③ 逐项打分'!$F$2:$F$51,'③ 逐项打分'!$B$2:$B$51,$A8,'③ 逐项打分'!$C$2:$C$51,"r3")</f>
        <v/>
      </c>
      <c r="E8" s="13">
        <f>SUMIFS('③ 逐项打分'!$F$2:$F$51,'③ 逐项打分'!$B$2:$B$51,$A8,'③ 逐项打分'!$C$2:$C$51,"r4")</f>
        <v/>
      </c>
      <c r="F8" s="13">
        <f>SUMIFS('③ 逐项打分'!$F$2:$F$51,'③ 逐项打分'!$B$2:$B$51,$A8,'③ 逐项打分'!$C$2:$C$51,"r5")</f>
        <v/>
      </c>
      <c r="G8" s="16">
        <f>SUM(B8:F8)</f>
        <v/>
      </c>
      <c r="H8" s="15" t="n"/>
      <c r="I8" s="17" t="n"/>
    </row>
    <row r="9" ht="22" customHeight="1">
      <c r="A9" s="13" t="inlineStr">
        <is>
          <t>S08</t>
        </is>
      </c>
      <c r="B9" s="13">
        <f>SUMIFS('③ 逐项打分'!$F$2:$F$51,'③ 逐项打分'!$B$2:$B$51,$A9,'③ 逐项打分'!$C$2:$C$51,"r1")</f>
        <v/>
      </c>
      <c r="C9" s="13">
        <f>SUMIFS('③ 逐项打分'!$F$2:$F$51,'③ 逐项打分'!$B$2:$B$51,$A9,'③ 逐项打分'!$C$2:$C$51,"r2")</f>
        <v/>
      </c>
      <c r="D9" s="13">
        <f>SUMIFS('③ 逐项打分'!$F$2:$F$51,'③ 逐项打分'!$B$2:$B$51,$A9,'③ 逐项打分'!$C$2:$C$51,"r3")</f>
        <v/>
      </c>
      <c r="E9" s="13">
        <f>SUMIFS('③ 逐项打分'!$F$2:$F$51,'③ 逐项打分'!$B$2:$B$51,$A9,'③ 逐项打分'!$C$2:$C$51,"r4")</f>
        <v/>
      </c>
      <c r="F9" s="13">
        <f>SUMIFS('③ 逐项打分'!$F$2:$F$51,'③ 逐项打分'!$B$2:$B$51,$A9,'③ 逐项打分'!$C$2:$C$51,"r5")</f>
        <v/>
      </c>
      <c r="G9" s="16">
        <f>SUM(B9:F9)</f>
        <v/>
      </c>
      <c r="H9" s="15" t="n"/>
      <c r="I9" s="17" t="n"/>
    </row>
    <row r="10" ht="22" customHeight="1">
      <c r="A10" s="13" t="inlineStr">
        <is>
          <t>S09</t>
        </is>
      </c>
      <c r="B10" s="13">
        <f>SUMIFS('③ 逐项打分'!$F$2:$F$51,'③ 逐项打分'!$B$2:$B$51,$A10,'③ 逐项打分'!$C$2:$C$51,"r1")</f>
        <v/>
      </c>
      <c r="C10" s="13">
        <f>SUMIFS('③ 逐项打分'!$F$2:$F$51,'③ 逐项打分'!$B$2:$B$51,$A10,'③ 逐项打分'!$C$2:$C$51,"r2")</f>
        <v/>
      </c>
      <c r="D10" s="13">
        <f>SUMIFS('③ 逐项打分'!$F$2:$F$51,'③ 逐项打分'!$B$2:$B$51,$A10,'③ 逐项打分'!$C$2:$C$51,"r3")</f>
        <v/>
      </c>
      <c r="E10" s="13">
        <f>SUMIFS('③ 逐项打分'!$F$2:$F$51,'③ 逐项打分'!$B$2:$B$51,$A10,'③ 逐项打分'!$C$2:$C$51,"r4")</f>
        <v/>
      </c>
      <c r="F10" s="13">
        <f>SUMIFS('③ 逐项打分'!$F$2:$F$51,'③ 逐项打分'!$B$2:$B$51,$A10,'③ 逐项打分'!$C$2:$C$51,"r5")</f>
        <v/>
      </c>
      <c r="G10" s="16">
        <f>SUM(B10:F10)</f>
        <v/>
      </c>
      <c r="H10" s="15" t="n"/>
      <c r="I10" s="17" t="n"/>
    </row>
    <row r="11" ht="22" customHeight="1">
      <c r="A11" s="13" t="inlineStr">
        <is>
          <t>S10</t>
        </is>
      </c>
      <c r="B11" s="13">
        <f>SUMIFS('③ 逐项打分'!$F$2:$F$51,'③ 逐项打分'!$B$2:$B$51,$A11,'③ 逐项打分'!$C$2:$C$51,"r1")</f>
        <v/>
      </c>
      <c r="C11" s="13">
        <f>SUMIFS('③ 逐项打分'!$F$2:$F$51,'③ 逐项打分'!$B$2:$B$51,$A11,'③ 逐项打分'!$C$2:$C$51,"r2")</f>
        <v/>
      </c>
      <c r="D11" s="13">
        <f>SUMIFS('③ 逐项打分'!$F$2:$F$51,'③ 逐项打分'!$B$2:$B$51,$A11,'③ 逐项打分'!$C$2:$C$51,"r3")</f>
        <v/>
      </c>
      <c r="E11" s="13">
        <f>SUMIFS('③ 逐项打分'!$F$2:$F$51,'③ 逐项打分'!$B$2:$B$51,$A11,'③ 逐项打分'!$C$2:$C$51,"r4")</f>
        <v/>
      </c>
      <c r="F11" s="13">
        <f>SUMIFS('③ 逐项打分'!$F$2:$F$51,'③ 逐项打分'!$B$2:$B$51,$A11,'③ 逐项打分'!$C$2:$C$51,"r5")</f>
        <v/>
      </c>
      <c r="G11" s="16">
        <f>SUM(B11:F11)</f>
        <v/>
      </c>
      <c r="H11" s="15" t="n"/>
      <c r="I11" s="17" t="n"/>
    </row>
    <row r="13">
      <c r="A13" s="18" t="inlineStr">
        <is>
          <t>说明</t>
        </is>
      </c>
      <c r="B13" s="19" t="inlineStr">
        <is>
          <t>本表各分数由公式从「③ 逐项打分」自动汇总，不需要手算。若某格显示 0，说明该项还没打分（或真的给了 0 分）。</t>
        </is>
      </c>
      <c r="C13" s="20" t="n"/>
      <c r="D13" s="20" t="n"/>
      <c r="E13" s="20" t="n"/>
      <c r="F13" s="20" t="n"/>
      <c r="G13" s="20" t="n"/>
      <c r="H13" s="20" t="n"/>
      <c r="I13" s="2" t="n"/>
    </row>
  </sheetData>
  <mergeCells count="1">
    <mergeCell ref="B13:I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4" customWidth="1" min="2" max="2"/>
    <col width="62" customWidth="1" min="3" max="3"/>
  </cols>
  <sheetData>
    <row r="1" ht="28" customHeight="1">
      <c r="A1" s="1" t="inlineStr">
        <is>
          <t>封存记录（打分完成后填写）</t>
        </is>
      </c>
      <c r="B1" s="20" t="n"/>
      <c r="C1" s="2" t="n"/>
    </row>
    <row r="3" ht="32" customHeight="1">
      <c r="A3" s="3" t="inlineStr">
        <is>
          <t>打分人姓名</t>
        </is>
      </c>
      <c r="B3" s="14" t="inlineStr"/>
      <c r="C3" s="9" t="inlineStr">
        <is>
          <t>请填真实姓名——benchmark 报告里要写「由非主程成员 XXX 独立打分」</t>
        </is>
      </c>
    </row>
    <row r="4" ht="32" customHeight="1">
      <c r="A4" s="3" t="inlineStr">
        <is>
          <t>专业 / 分工</t>
        </is>
      </c>
      <c r="B4" s="14" t="inlineStr"/>
      <c r="C4" s="9" t="inlineStr">
        <is>
          <t>例如：计算机科学与技术 / 产品与材料</t>
        </is>
      </c>
    </row>
    <row r="5" ht="32" customHeight="1">
      <c r="A5" s="3" t="inlineStr">
        <is>
          <t>打分日期</t>
        </is>
      </c>
      <c r="B5" s="14" t="inlineStr"/>
      <c r="C5" s="9" t="inlineStr">
        <is>
          <t>完成当天日期</t>
        </is>
      </c>
    </row>
    <row r="6" ht="32" customHeight="1">
      <c r="A6" s="3" t="inlineStr">
        <is>
          <t>总耗时（分钟）</t>
        </is>
      </c>
      <c r="B6" s="14" t="inlineStr"/>
      <c r="C6" s="9" t="inlineStr">
        <is>
          <t>用于说明这份 gold set 的认真程度</t>
        </is>
      </c>
    </row>
    <row r="7" ht="32" customHeight="1">
      <c r="A7" s="3" t="inlineStr">
        <is>
          <t>是否独立完成（未与主程讨论）</t>
        </is>
      </c>
      <c r="B7" s="14" t="inlineStr">
        <is>
          <t>是</t>
        </is>
      </c>
      <c r="C7" s="9" t="inlineStr">
        <is>
          <t>必须是「是」，否则这份表作废</t>
        </is>
      </c>
    </row>
    <row r="8" ht="32" customHeight="1">
      <c r="A8" s="3" t="inlineStr">
        <is>
          <t>是否全程未参考 AI 评分</t>
        </is>
      </c>
      <c r="B8" s="14" t="inlineStr">
        <is>
          <t>是</t>
        </is>
      </c>
      <c r="C8" s="9" t="inlineStr">
        <is>
          <t>必须是「是」</t>
        </is>
      </c>
    </row>
    <row r="9" ht="32" customHeight="1">
      <c r="A9" s="3" t="inlineStr">
        <is>
          <t>是否确认不再修改任何分值</t>
        </is>
      </c>
      <c r="B9" s="14" t="inlineStr">
        <is>
          <t>是</t>
        </is>
      </c>
      <c r="C9" s="9" t="inlineStr">
        <is>
          <t>确认后即封存</t>
        </is>
      </c>
    </row>
    <row r="10" ht="32" customHeight="1">
      <c r="A10" s="3" t="inlineStr">
        <is>
          <t>封存后由谁保管</t>
        </is>
      </c>
      <c r="B10" s="14" t="inlineStr">
        <is>
          <t>主程（只读，不得修改）</t>
        </is>
      </c>
      <c r="C10" s="9" t="inlineStr">
        <is>
          <t>主程保管但不得改动内容</t>
        </is>
      </c>
    </row>
    <row r="11" ht="32" customHeight="1">
      <c r="A11" s="3" t="inlineStr">
        <is>
          <t>解封条件</t>
        </is>
      </c>
      <c r="B11" s="14" t="inlineStr">
        <is>
          <t>D6 跑 benchmark 当天解封</t>
        </is>
      </c>
      <c r="C11" s="9" t="inlineStr">
        <is>
          <t>解封后只读对比，仍不得改分</t>
        </is>
      </c>
    </row>
    <row r="13">
      <c r="A13" s="3" t="inlineStr">
        <is>
          <t>填写进度</t>
        </is>
      </c>
      <c r="B13" s="16">
        <f>COUNTA('③ 逐项打分'!F2:F51)&amp;" / 50"</f>
        <v/>
      </c>
      <c r="C13" s="9" t="inlineStr">
        <is>
          <t>显示已填得分条目数，全部完成应为 50 / 50</t>
        </is>
      </c>
    </row>
  </sheetData>
  <mergeCells count="1">
    <mergeCell ref="A1:C1"/>
  </mergeCells>
  <dataValidations count="3">
    <dataValidation sqref="B7" showDropDown="0" showInputMessage="0" showErrorMessage="0" allowBlank="1" type="list">
      <formula1>"是,否"</formula1>
    </dataValidation>
    <dataValidation sqref="B8" showDropDown="0" showInputMessage="0" showErrorMessage="0" allowBlank="1" type="list">
      <formula1>"是,否"</formula1>
    </dataValidation>
    <dataValidation sqref="B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2026-10-02T04:47:35Z</dcterms:created>
  <dcterms:modified xmlns:dcterms="http://purl.org/dc/terms/" xmlns:xsi="http://www.w3.org/2001/XMLSchema-instance" xsi:type="dcterms:W3CDTF">2026-10-02T04:47:35Z</dcterms:modified>
</cp:coreProperties>
</file>